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TIT.BT\Tin_hoc_co_so_1\Bai_tap_phan_Excel\"/>
    </mc:Choice>
  </mc:AlternateContent>
  <xr:revisionPtr revIDLastSave="0" documentId="13_ncr:1_{FD2668CB-21B3-4EDA-BE50-6A7E97D2F897}" xr6:coauthVersionLast="47" xr6:coauthVersionMax="47" xr10:uidLastSave="{00000000-0000-0000-0000-000000000000}"/>
  <bookViews>
    <workbookView xWindow="2376" yWindow="1476" windowWidth="17280" windowHeight="9276" xr2:uid="{763D51E0-E6D5-472B-9A93-993C6412A1EE}"/>
  </bookViews>
  <sheets>
    <sheet name="Bai1_DiemTB" sheetId="2" r:id="rId1"/>
    <sheet name="Bai2_DoanhThu" sheetId="3" r:id="rId2"/>
    <sheet name="Bai3_Luong" sheetId="4" r:id="rId3"/>
    <sheet name="Bai4_TrongSo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2" i="2"/>
  <c r="G2" i="4"/>
  <c r="G3" i="4"/>
  <c r="G4" i="4"/>
  <c r="G5" i="4"/>
  <c r="F3" i="4"/>
  <c r="F4" i="4"/>
  <c r="F5" i="4"/>
  <c r="E3" i="4"/>
  <c r="E4" i="4"/>
  <c r="E5" i="4"/>
  <c r="F2" i="4"/>
  <c r="E2" i="4"/>
  <c r="G3" i="3"/>
  <c r="G4" i="3"/>
  <c r="G5" i="3"/>
  <c r="F3" i="3"/>
  <c r="F4" i="3"/>
  <c r="F5" i="3"/>
  <c r="E3" i="3"/>
  <c r="E4" i="3"/>
  <c r="E5" i="3"/>
  <c r="G2" i="3"/>
  <c r="F2" i="3"/>
  <c r="E2" i="3"/>
  <c r="G3" i="2"/>
  <c r="G4" i="2"/>
  <c r="G5" i="2"/>
  <c r="G6" i="2"/>
  <c r="F3" i="2"/>
  <c r="F4" i="2"/>
  <c r="F5" i="2"/>
  <c r="F6" i="2"/>
  <c r="E3" i="2"/>
  <c r="E4" i="2"/>
  <c r="E5" i="2"/>
  <c r="E6" i="2"/>
  <c r="G2" i="2"/>
  <c r="F2" i="2"/>
  <c r="E2" i="2"/>
  <c r="H3" i="1" a="1"/>
  <c r="H3" i="1"/>
  <c r="H4" i="1" a="1"/>
  <c r="H4" i="1"/>
  <c r="H2" i="1" a="1"/>
  <c r="H2" i="1" s="1"/>
  <c r="I2" i="1" s="1"/>
  <c r="I3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<sst xmlns="http://schemas.openxmlformats.org/spreadsheetml/2006/main" count="47" uniqueCount="34">
  <si>
    <t>Họ tên</t>
  </si>
  <si>
    <t>Toán</t>
  </si>
  <si>
    <t>Lý</t>
  </si>
  <si>
    <t>Hóa</t>
  </si>
  <si>
    <t>Trọng số Toán</t>
  </si>
  <si>
    <t>Trọng số Lý</t>
  </si>
  <si>
    <t>Trọng số Hóa</t>
  </si>
  <si>
    <t>Điểm TB có trọng số</t>
  </si>
  <si>
    <t>Kết quả (Đạt nếu TB&gt;=5)</t>
  </si>
  <si>
    <t>An</t>
  </si>
  <si>
    <t>Bình</t>
  </si>
  <si>
    <t>Chi</t>
  </si>
  <si>
    <t>Tổng điểm</t>
  </si>
  <si>
    <t>Trung bình</t>
  </si>
  <si>
    <t>TB làm tròn</t>
  </si>
  <si>
    <t>Dũng</t>
  </si>
  <si>
    <t>Hoa</t>
  </si>
  <si>
    <t>Nhân viên</t>
  </si>
  <si>
    <t>Tháng 1</t>
  </si>
  <si>
    <t>Tháng 2</t>
  </si>
  <si>
    <t>Tháng 3</t>
  </si>
  <si>
    <t>Doanh thu lớn nhất</t>
  </si>
  <si>
    <t>Doanh thu nhỏ nhất</t>
  </si>
  <si>
    <t>Số tháng có doanh thu lớn hơn 10,000,000</t>
  </si>
  <si>
    <t>Hạnh</t>
  </si>
  <si>
    <t>Linh</t>
  </si>
  <si>
    <t>Nam</t>
  </si>
  <si>
    <t>Quân</t>
  </si>
  <si>
    <t>Lương cơ bản</t>
  </si>
  <si>
    <t>Phụ cấp</t>
  </si>
  <si>
    <t>Thưởng</t>
  </si>
  <si>
    <t>Tổng thu nhập</t>
  </si>
  <si>
    <t>Thu nhập TB</t>
  </si>
  <si>
    <t>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</si>
</sst>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3" fontId="0" fillId="0" borderId="1" xfId="0" applyNumberFormat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DCC0-034E-42DC-A8F3-82B08B776501}">
  <dimension ref="A1:H6"/>
  <sheetViews>
    <sheetView tabSelected="1" workbookViewId="0">
      <selection activeCell="H8" sqref="H8"/>
    </sheetView>
  </sheetViews>
  <sheetFormatPr defaultRowHeight="14.4" x14ac:dyDescent="0.3"/>
  <cols>
    <col min="4" max="4" width="8.77734375" customWidth="1"/>
    <col min="5" max="5" width="12.21875" customWidth="1"/>
    <col min="6" max="6" width="13.109375" customWidth="1"/>
    <col min="7" max="7" width="14.88671875" customWidth="1"/>
    <col min="8" max="8" width="12.886718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5" t="s">
        <v>33</v>
      </c>
    </row>
    <row r="2" spans="1:8" x14ac:dyDescent="0.3">
      <c r="A2" s="2" t="s">
        <v>9</v>
      </c>
      <c r="B2" s="2">
        <v>8</v>
      </c>
      <c r="C2" s="2">
        <v>7</v>
      </c>
      <c r="D2" s="2">
        <v>9</v>
      </c>
      <c r="E2" s="2">
        <f>SUM(B2:D2)</f>
        <v>24</v>
      </c>
      <c r="F2" s="2">
        <f>AVERAGE(B2:D2)</f>
        <v>8</v>
      </c>
      <c r="G2" s="2">
        <f>ROUND(F2,0)</f>
        <v>8</v>
      </c>
      <c r="H2" s="2" t="str">
        <f>IF(G2&gt;=5,"Đạt","Không đạt")</f>
        <v>Đạt</v>
      </c>
    </row>
    <row r="3" spans="1:8" x14ac:dyDescent="0.3">
      <c r="A3" s="2" t="s">
        <v>10</v>
      </c>
      <c r="B3" s="2">
        <v>6</v>
      </c>
      <c r="C3" s="2">
        <v>5</v>
      </c>
      <c r="D3" s="2">
        <v>7</v>
      </c>
      <c r="E3" s="2">
        <f t="shared" ref="E3:E6" si="0">SUM(B3:D3)</f>
        <v>18</v>
      </c>
      <c r="F3" s="2">
        <f t="shared" ref="F3:F6" si="1">AVERAGE(B3:D3)</f>
        <v>6</v>
      </c>
      <c r="G3" s="2">
        <f t="shared" ref="G3:G6" si="2">ROUND(F3,0)</f>
        <v>6</v>
      </c>
      <c r="H3" s="2" t="str">
        <f t="shared" ref="H3:H6" si="3">IF(G3&gt;=5,"Đạt","Không đạt")</f>
        <v>Đạt</v>
      </c>
    </row>
    <row r="4" spans="1:8" x14ac:dyDescent="0.3">
      <c r="A4" s="2" t="s">
        <v>11</v>
      </c>
      <c r="B4" s="2">
        <v>9</v>
      </c>
      <c r="C4" s="2">
        <v>9</v>
      </c>
      <c r="D4" s="2">
        <v>8</v>
      </c>
      <c r="E4" s="2">
        <f t="shared" si="0"/>
        <v>26</v>
      </c>
      <c r="F4" s="2">
        <f t="shared" si="1"/>
        <v>8.6666666666666661</v>
      </c>
      <c r="G4" s="2">
        <f t="shared" si="2"/>
        <v>9</v>
      </c>
      <c r="H4" s="2" t="str">
        <f t="shared" si="3"/>
        <v>Đạt</v>
      </c>
    </row>
    <row r="5" spans="1:8" x14ac:dyDescent="0.3">
      <c r="A5" s="2" t="s">
        <v>15</v>
      </c>
      <c r="B5" s="2">
        <v>5</v>
      </c>
      <c r="C5" s="2">
        <v>6</v>
      </c>
      <c r="D5" s="2">
        <v>6</v>
      </c>
      <c r="E5" s="2">
        <f t="shared" si="0"/>
        <v>17</v>
      </c>
      <c r="F5" s="2">
        <f t="shared" si="1"/>
        <v>5.666666666666667</v>
      </c>
      <c r="G5" s="2">
        <f t="shared" si="2"/>
        <v>6</v>
      </c>
      <c r="H5" s="2" t="str">
        <f t="shared" si="3"/>
        <v>Đạt</v>
      </c>
    </row>
    <row r="6" spans="1:8" x14ac:dyDescent="0.3">
      <c r="A6" s="2" t="s">
        <v>16</v>
      </c>
      <c r="B6" s="2">
        <v>10</v>
      </c>
      <c r="C6" s="2">
        <v>9</v>
      </c>
      <c r="D6" s="2">
        <v>10</v>
      </c>
      <c r="E6" s="2">
        <f t="shared" si="0"/>
        <v>29</v>
      </c>
      <c r="F6" s="2">
        <f t="shared" si="1"/>
        <v>9.6666666666666661</v>
      </c>
      <c r="G6" s="2">
        <f t="shared" si="2"/>
        <v>10</v>
      </c>
      <c r="H6" s="2" t="str">
        <f t="shared" si="3"/>
        <v>Đạt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F0FF-5AA5-47C4-AAB9-E14B55937724}">
  <dimension ref="A1:G5"/>
  <sheetViews>
    <sheetView workbookViewId="0">
      <selection activeCell="G10" sqref="G10"/>
    </sheetView>
  </sheetViews>
  <sheetFormatPr defaultRowHeight="14.4" x14ac:dyDescent="0.3"/>
  <cols>
    <col min="2" max="2" width="15.21875" customWidth="1"/>
    <col min="3" max="3" width="14" customWidth="1"/>
    <col min="4" max="4" width="12.77734375" customWidth="1"/>
    <col min="5" max="5" width="24.21875" customWidth="1"/>
    <col min="6" max="6" width="25.5546875" customWidth="1"/>
    <col min="7" max="7" width="44.6640625" customWidth="1"/>
  </cols>
  <sheetData>
    <row r="1" spans="1:7" ht="15.6" x14ac:dyDescent="0.3">
      <c r="A1" s="1" t="s">
        <v>17</v>
      </c>
      <c r="B1" s="1" t="s">
        <v>18</v>
      </c>
      <c r="C1" s="1" t="s">
        <v>19</v>
      </c>
      <c r="D1" s="1" t="s">
        <v>20</v>
      </c>
      <c r="E1" s="3" t="s">
        <v>21</v>
      </c>
      <c r="F1" s="3" t="s">
        <v>22</v>
      </c>
      <c r="G1" s="3" t="s">
        <v>23</v>
      </c>
    </row>
    <row r="2" spans="1:7" x14ac:dyDescent="0.3">
      <c r="A2" s="2" t="s">
        <v>24</v>
      </c>
      <c r="B2" s="4">
        <v>12500000</v>
      </c>
      <c r="C2" s="4">
        <v>14200000</v>
      </c>
      <c r="D2" s="4">
        <v>13800000</v>
      </c>
      <c r="E2" s="4">
        <f>MAX(B2:D2)</f>
        <v>14200000</v>
      </c>
      <c r="F2" s="4">
        <f>MIN(B2:D2)</f>
        <v>12500000</v>
      </c>
      <c r="G2" s="2">
        <f>COUNTIF(B2:D2,"&gt;10000000")</f>
        <v>3</v>
      </c>
    </row>
    <row r="3" spans="1:7" x14ac:dyDescent="0.3">
      <c r="A3" s="2" t="s">
        <v>25</v>
      </c>
      <c r="B3" s="4">
        <v>10000000</v>
      </c>
      <c r="C3" s="4">
        <v>11500000</v>
      </c>
      <c r="D3" s="4">
        <v>9800000</v>
      </c>
      <c r="E3" s="4">
        <f t="shared" ref="E3:E5" si="0">MAX(B3:D3)</f>
        <v>11500000</v>
      </c>
      <c r="F3" s="4">
        <f t="shared" ref="F3:F5" si="1">MIN(B3:D3)</f>
        <v>9800000</v>
      </c>
      <c r="G3" s="2">
        <f t="shared" ref="G3:G5" si="2">COUNTIF(B3:D3,"&gt;10000000")</f>
        <v>1</v>
      </c>
    </row>
    <row r="4" spans="1:7" x14ac:dyDescent="0.3">
      <c r="A4" s="2" t="s">
        <v>26</v>
      </c>
      <c r="B4" s="4">
        <v>15600000</v>
      </c>
      <c r="C4" s="4">
        <v>16200000</v>
      </c>
      <c r="D4" s="4">
        <v>15800000</v>
      </c>
      <c r="E4" s="4">
        <f t="shared" si="0"/>
        <v>16200000</v>
      </c>
      <c r="F4" s="4">
        <f t="shared" si="1"/>
        <v>15600000</v>
      </c>
      <c r="G4" s="2">
        <f t="shared" si="2"/>
        <v>3</v>
      </c>
    </row>
    <row r="5" spans="1:7" x14ac:dyDescent="0.3">
      <c r="A5" s="2" t="s">
        <v>27</v>
      </c>
      <c r="B5" s="4">
        <v>8500000</v>
      </c>
      <c r="C5" s="4">
        <v>9200000</v>
      </c>
      <c r="D5" s="4">
        <v>10000000</v>
      </c>
      <c r="E5" s="4">
        <f t="shared" si="0"/>
        <v>10000000</v>
      </c>
      <c r="F5" s="4">
        <f t="shared" si="1"/>
        <v>8500000</v>
      </c>
      <c r="G5" s="2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E176-E2A2-49A3-8149-9524AFED5054}">
  <dimension ref="A1:G5"/>
  <sheetViews>
    <sheetView workbookViewId="0">
      <selection activeCell="D9" sqref="D9"/>
    </sheetView>
  </sheetViews>
  <sheetFormatPr defaultRowHeight="14.4" x14ac:dyDescent="0.3"/>
  <cols>
    <col min="1" max="1" width="16.5546875" customWidth="1"/>
    <col min="2" max="2" width="18.21875" customWidth="1"/>
    <col min="3" max="3" width="13.5546875" customWidth="1"/>
    <col min="4" max="4" width="14.33203125" customWidth="1"/>
    <col min="5" max="5" width="17.5546875" customWidth="1"/>
    <col min="6" max="6" width="15.33203125" customWidth="1"/>
    <col min="7" max="7" width="16.88671875" customWidth="1"/>
  </cols>
  <sheetData>
    <row r="1" spans="1:7" ht="15.6" x14ac:dyDescent="0.3">
      <c r="A1" s="1" t="s">
        <v>17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14</v>
      </c>
    </row>
    <row r="2" spans="1:7" x14ac:dyDescent="0.3">
      <c r="A2" s="2" t="s">
        <v>9</v>
      </c>
      <c r="B2" s="4">
        <v>6000000</v>
      </c>
      <c r="C2" s="4">
        <v>500000</v>
      </c>
      <c r="D2" s="4">
        <v>1000000</v>
      </c>
      <c r="E2" s="4">
        <f>SUM(B2:D2)</f>
        <v>7500000</v>
      </c>
      <c r="F2" s="4">
        <f>AVERAGE(B2:D2)</f>
        <v>2500000</v>
      </c>
      <c r="G2" s="4">
        <f>ROUND(F2,-3)</f>
        <v>2500000</v>
      </c>
    </row>
    <row r="3" spans="1:7" x14ac:dyDescent="0.3">
      <c r="A3" s="2" t="s">
        <v>10</v>
      </c>
      <c r="B3" s="4">
        <v>7000000</v>
      </c>
      <c r="C3" s="4">
        <v>1000000</v>
      </c>
      <c r="D3" s="4">
        <v>800000</v>
      </c>
      <c r="E3" s="4">
        <f t="shared" ref="E3:E5" si="0">SUM(B3:D3)</f>
        <v>8800000</v>
      </c>
      <c r="F3" s="4">
        <f t="shared" ref="F3:F5" si="1">AVERAGE(B3:D3)</f>
        <v>2933333.3333333335</v>
      </c>
      <c r="G3" s="4">
        <f t="shared" ref="G3:G5" si="2">ROUND(F3,-3)</f>
        <v>2933000</v>
      </c>
    </row>
    <row r="4" spans="1:7" x14ac:dyDescent="0.3">
      <c r="A4" s="2" t="s">
        <v>11</v>
      </c>
      <c r="B4" s="4">
        <v>5500000</v>
      </c>
      <c r="C4" s="4">
        <v>700000</v>
      </c>
      <c r="D4" s="4">
        <v>500000</v>
      </c>
      <c r="E4" s="4">
        <f t="shared" si="0"/>
        <v>6700000</v>
      </c>
      <c r="F4" s="4">
        <f t="shared" si="1"/>
        <v>2233333.3333333335</v>
      </c>
      <c r="G4" s="4">
        <f t="shared" si="2"/>
        <v>2233000</v>
      </c>
    </row>
    <row r="5" spans="1:7" x14ac:dyDescent="0.3">
      <c r="A5" s="2" t="s">
        <v>15</v>
      </c>
      <c r="B5" s="4">
        <v>8000000</v>
      </c>
      <c r="C5" s="4">
        <v>500000</v>
      </c>
      <c r="D5" s="4">
        <v>2000000</v>
      </c>
      <c r="E5" s="4">
        <f t="shared" si="0"/>
        <v>10500000</v>
      </c>
      <c r="F5" s="4">
        <f t="shared" si="1"/>
        <v>3500000</v>
      </c>
      <c r="G5" s="4">
        <f t="shared" si="2"/>
        <v>3500000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CF20-D727-4C80-8FCD-FE206CA47C3F}">
  <dimension ref="A1:I4"/>
  <sheetViews>
    <sheetView workbookViewId="0">
      <selection activeCell="G18" sqref="G18"/>
    </sheetView>
  </sheetViews>
  <sheetFormatPr defaultRowHeight="14.4" x14ac:dyDescent="0.3"/>
  <cols>
    <col min="5" max="5" width="17" customWidth="1"/>
    <col min="6" max="6" width="16.109375" customWidth="1"/>
    <col min="7" max="7" width="14.109375" customWidth="1"/>
    <col min="8" max="8" width="23.5546875" customWidth="1"/>
    <col min="9" max="9" width="26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x14ac:dyDescent="0.3">
      <c r="A2" s="2" t="s">
        <v>9</v>
      </c>
      <c r="B2" s="2">
        <v>8</v>
      </c>
      <c r="C2" s="2">
        <v>9</v>
      </c>
      <c r="D2" s="2">
        <v>10</v>
      </c>
      <c r="E2" s="2">
        <v>3</v>
      </c>
      <c r="F2" s="2">
        <v>2</v>
      </c>
      <c r="G2" s="2">
        <v>2</v>
      </c>
      <c r="H2" s="2" cm="1">
        <f t="array" ref="H2">ROUND( SUM(B2:D2 * E2:G2) / SUM(E2:G2), 2 )</f>
        <v>8.86</v>
      </c>
      <c r="I2" s="2" t="str">
        <f>IF(H2&gt;=5,"Đạt","Không đạt")</f>
        <v>Đạt</v>
      </c>
    </row>
    <row r="3" spans="1:9" x14ac:dyDescent="0.3">
      <c r="A3" s="2" t="s">
        <v>10</v>
      </c>
      <c r="B3" s="2">
        <v>3</v>
      </c>
      <c r="C3" s="2">
        <v>7</v>
      </c>
      <c r="D3" s="2">
        <v>2</v>
      </c>
      <c r="E3" s="2">
        <v>3</v>
      </c>
      <c r="F3" s="2">
        <v>2</v>
      </c>
      <c r="G3" s="2">
        <v>2</v>
      </c>
      <c r="H3" s="2" cm="1">
        <f t="array" ref="H3">ROUND( SUM(B3:D3 * E3:G3) / SUM(E3:G3), 2 )</f>
        <v>3.86</v>
      </c>
      <c r="I3" s="2" t="str">
        <f t="shared" ref="I3:I4" si="0">IF(H3&gt;=5,"Đạt","Không đạt")</f>
        <v>Không đạt</v>
      </c>
    </row>
    <row r="4" spans="1:9" x14ac:dyDescent="0.3">
      <c r="A4" s="2" t="s">
        <v>11</v>
      </c>
      <c r="B4" s="2">
        <v>6</v>
      </c>
      <c r="C4" s="2">
        <v>4</v>
      </c>
      <c r="D4" s="2">
        <v>5</v>
      </c>
      <c r="E4" s="2">
        <v>3</v>
      </c>
      <c r="F4" s="2">
        <v>2</v>
      </c>
      <c r="G4" s="2">
        <v>2</v>
      </c>
      <c r="H4" s="2" cm="1">
        <f t="array" ref="H4">ROUND( SUM(B4:D4 * E4:G4) / SUM(E4:G4), 2 )</f>
        <v>5.14</v>
      </c>
      <c r="I4" s="2" t="str">
        <f t="shared" si="0"/>
        <v>Đạt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Bai1_DiemTB</vt:lpstr>
      <vt:lpstr>Bai2_DoanhThu</vt:lpstr>
      <vt:lpstr>Bai3_Luong</vt:lpstr>
      <vt:lpstr>Bai4_TrongSo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nguyenminhtuan26127@gmail.com</dc:creator>
  <cp:lastModifiedBy>nguyenminhtuan26127@gmail.com</cp:lastModifiedBy>
  <dcterms:created xsi:type="dcterms:W3CDTF">2025-11-22T00:29:39Z</dcterms:created>
  <dcterms:modified xsi:type="dcterms:W3CDTF">2025-11-22T01:16:08Z</dcterms:modified>
</cp:coreProperties>
</file>